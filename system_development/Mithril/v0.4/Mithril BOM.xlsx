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GitHub\In-situ-monitoring-of-powder-bed-fusion-additive-manufacturing\system_development\Mithril\v0.4\"/>
    </mc:Choice>
  </mc:AlternateContent>
  <xr:revisionPtr revIDLastSave="0" documentId="13_ncr:1_{A9615772-8393-4E35-96E7-1E4BAC12E4C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B23" i="1"/>
  <c r="B14" i="1"/>
  <c r="B19" i="1"/>
  <c r="B20" i="1" s="1"/>
  <c r="B17" i="1"/>
  <c r="B13" i="1"/>
  <c r="B15" i="1" s="1"/>
  <c r="B18" i="1"/>
</calcChain>
</file>

<file path=xl/sharedStrings.xml><?xml version="1.0" encoding="utf-8"?>
<sst xmlns="http://schemas.openxmlformats.org/spreadsheetml/2006/main" count="37" uniqueCount="32">
  <si>
    <t>Name</t>
  </si>
  <si>
    <t>Quantity</t>
  </si>
  <si>
    <t>Aluminum Cover</t>
  </si>
  <si>
    <t>Xometry + model</t>
  </si>
  <si>
    <t>Source</t>
  </si>
  <si>
    <t>Pull Handle</t>
  </si>
  <si>
    <t>https://www.grainger.com/product/JW-WINCO-Pull-Handle-Unthreaded-Holes-813RC8</t>
  </si>
  <si>
    <t>Head Plate (metal)</t>
  </si>
  <si>
    <t>Edmunds Optis 25mm Lens</t>
  </si>
  <si>
    <t>FLIR Blackfly Camera</t>
  </si>
  <si>
    <t xml:space="preserve">Seal Glass Ring </t>
  </si>
  <si>
    <t>3D Printed</t>
  </si>
  <si>
    <t>Cylinder Housing</t>
  </si>
  <si>
    <t>Camera Lid</t>
  </si>
  <si>
    <t>Cylinder Segment Inner</t>
  </si>
  <si>
    <t>Cylinder Segment Outer</t>
  </si>
  <si>
    <t>Magnet Sensors</t>
  </si>
  <si>
    <t>Aconity</t>
  </si>
  <si>
    <t>M6x15</t>
  </si>
  <si>
    <t>M6x20</t>
  </si>
  <si>
    <t>M6 ID 11.8mm OD Washer</t>
  </si>
  <si>
    <t>M5x40</t>
  </si>
  <si>
    <t>M5 ID 9.8mm OD Washer</t>
  </si>
  <si>
    <t>M4x14</t>
  </si>
  <si>
    <t>M4 ID 8.8mm OD Washer</t>
  </si>
  <si>
    <t>M3x40</t>
  </si>
  <si>
    <t>M3x10 Pan Head</t>
  </si>
  <si>
    <t>M3 Washer</t>
  </si>
  <si>
    <t>M3 Nuts</t>
  </si>
  <si>
    <t>M6 Nut</t>
  </si>
  <si>
    <t>Rubber Seal (100ft)</t>
  </si>
  <si>
    <t>https://www.grainger.com/product/Rubber-Cord-Buna-N-848F88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</si>
</sst>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horizontal="left"/>
    </xf>
    <xf numFmtId="0" fontId="1" fillId="0" borderId="0" xfId="1" applyAlignment="1">
      <alignment horizontal="center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rainger.com/product/JW-WINCO-Pull-Handle-Unthreaded-Holes-813RC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D20" sqref="D20"/>
    </sheetView>
  </sheetViews>
  <sheetFormatPr defaultRowHeight="14.4" x14ac:dyDescent="0.3"/>
  <cols>
    <col min="1" max="1" width="23" bestFit="1" customWidth="1"/>
    <col min="2" max="2" width="8.88671875" style="1"/>
    <col min="3" max="3" width="16.21875" customWidth="1"/>
  </cols>
  <sheetData>
    <row r="1" spans="1:7" x14ac:dyDescent="0.3">
      <c r="A1" s="1" t="s">
        <v>0</v>
      </c>
      <c r="B1" s="1" t="s">
        <v>1</v>
      </c>
      <c r="C1" s="1" t="s">
        <v>4</v>
      </c>
    </row>
    <row r="2" spans="1:7" x14ac:dyDescent="0.3">
      <c r="A2" s="1" t="s">
        <v>2</v>
      </c>
      <c r="B2" s="1">
        <v>1</v>
      </c>
      <c r="C2" s="1" t="s">
        <v>3</v>
      </c>
    </row>
    <row r="3" spans="1:7" x14ac:dyDescent="0.3">
      <c r="A3" s="1" t="s">
        <v>5</v>
      </c>
      <c r="B3" s="1">
        <v>2</v>
      </c>
      <c r="C3" s="2" t="s">
        <v>6</v>
      </c>
    </row>
    <row r="4" spans="1:7" x14ac:dyDescent="0.3">
      <c r="A4" s="1" t="s">
        <v>7</v>
      </c>
      <c r="B4" s="1">
        <v>1</v>
      </c>
      <c r="C4" s="1" t="s">
        <v>3</v>
      </c>
    </row>
    <row r="5" spans="1:7" x14ac:dyDescent="0.3">
      <c r="A5" s="1" t="s">
        <v>9</v>
      </c>
      <c r="B5" s="1">
        <v>1</v>
      </c>
      <c r="C5" s="1"/>
    </row>
    <row r="6" spans="1:7" x14ac:dyDescent="0.3">
      <c r="A6" s="1" t="s">
        <v>8</v>
      </c>
      <c r="B6" s="1">
        <v>1</v>
      </c>
      <c r="C6" s="3"/>
      <c r="D6" s="3"/>
      <c r="E6" s="3"/>
      <c r="F6" s="3"/>
      <c r="G6" s="3"/>
    </row>
    <row r="7" spans="1:7" x14ac:dyDescent="0.3">
      <c r="A7" s="1" t="s">
        <v>10</v>
      </c>
      <c r="B7" s="1">
        <v>1</v>
      </c>
      <c r="C7" s="1" t="s">
        <v>11</v>
      </c>
    </row>
    <row r="8" spans="1:7" x14ac:dyDescent="0.3">
      <c r="A8" s="1" t="s">
        <v>12</v>
      </c>
      <c r="B8" s="1">
        <v>1</v>
      </c>
      <c r="C8" s="1" t="s">
        <v>11</v>
      </c>
    </row>
    <row r="9" spans="1:7" x14ac:dyDescent="0.3">
      <c r="A9" s="1" t="s">
        <v>13</v>
      </c>
      <c r="B9" s="1">
        <v>1</v>
      </c>
      <c r="C9" s="1" t="s">
        <v>11</v>
      </c>
    </row>
    <row r="10" spans="1:7" x14ac:dyDescent="0.3">
      <c r="A10" s="1" t="s">
        <v>14</v>
      </c>
      <c r="B10" s="1">
        <v>1</v>
      </c>
      <c r="C10" s="1" t="s">
        <v>11</v>
      </c>
    </row>
    <row r="11" spans="1:7" x14ac:dyDescent="0.3">
      <c r="A11" s="1" t="s">
        <v>15</v>
      </c>
      <c r="B11" s="1">
        <v>1</v>
      </c>
      <c r="C11" s="1" t="s">
        <v>11</v>
      </c>
    </row>
    <row r="12" spans="1:7" x14ac:dyDescent="0.3">
      <c r="A12" s="1" t="s">
        <v>16</v>
      </c>
      <c r="B12" s="1">
        <v>4</v>
      </c>
      <c r="C12" s="1" t="s">
        <v>17</v>
      </c>
    </row>
    <row r="13" spans="1:7" x14ac:dyDescent="0.3">
      <c r="A13" s="1" t="s">
        <v>18</v>
      </c>
      <c r="B13" s="1">
        <f>2</f>
        <v>2</v>
      </c>
    </row>
    <row r="14" spans="1:7" x14ac:dyDescent="0.3">
      <c r="A14" s="1" t="s">
        <v>19</v>
      </c>
      <c r="B14" s="1">
        <f>4</f>
        <v>4</v>
      </c>
    </row>
    <row r="15" spans="1:7" x14ac:dyDescent="0.3">
      <c r="A15" s="1" t="s">
        <v>20</v>
      </c>
      <c r="B15" s="1">
        <f>SUM(B13:B14)</f>
        <v>6</v>
      </c>
    </row>
    <row r="16" spans="1:7" x14ac:dyDescent="0.3">
      <c r="A16" s="1" t="s">
        <v>29</v>
      </c>
      <c r="B16" s="1">
        <f>B13</f>
        <v>2</v>
      </c>
    </row>
    <row r="17" spans="1:3" x14ac:dyDescent="0.3">
      <c r="A17" s="1" t="s">
        <v>21</v>
      </c>
      <c r="B17" s="1">
        <f>9+3</f>
        <v>12</v>
      </c>
    </row>
    <row r="18" spans="1:3" x14ac:dyDescent="0.3">
      <c r="A18" s="1" t="s">
        <v>22</v>
      </c>
      <c r="B18" s="1">
        <f ca="1">SUM(B17:B21)</f>
        <v>15</v>
      </c>
    </row>
    <row r="19" spans="1:3" x14ac:dyDescent="0.3">
      <c r="A19" s="1" t="s">
        <v>23</v>
      </c>
      <c r="B19" s="1">
        <f>3+4+4</f>
        <v>11</v>
      </c>
    </row>
    <row r="20" spans="1:3" x14ac:dyDescent="0.3">
      <c r="A20" s="1" t="s">
        <v>24</v>
      </c>
      <c r="B20" s="1">
        <f>B19</f>
        <v>11</v>
      </c>
    </row>
    <row r="21" spans="1:3" x14ac:dyDescent="0.3">
      <c r="A21" s="1" t="s">
        <v>25</v>
      </c>
      <c r="B21" s="1">
        <v>3</v>
      </c>
    </row>
    <row r="22" spans="1:3" x14ac:dyDescent="0.3">
      <c r="A22" s="1" t="s">
        <v>26</v>
      </c>
      <c r="B22" s="1">
        <v>4</v>
      </c>
    </row>
    <row r="23" spans="1:3" x14ac:dyDescent="0.3">
      <c r="A23" s="1" t="s">
        <v>27</v>
      </c>
      <c r="B23" s="1">
        <f>B22</f>
        <v>4</v>
      </c>
    </row>
    <row r="24" spans="1:3" x14ac:dyDescent="0.3">
      <c r="A24" s="1" t="s">
        <v>28</v>
      </c>
      <c r="B24" s="1">
        <v>4</v>
      </c>
    </row>
    <row r="25" spans="1:3" x14ac:dyDescent="0.3">
      <c r="A25" s="1" t="s">
        <v>30</v>
      </c>
      <c r="B25" s="1">
        <v>1</v>
      </c>
      <c r="C25" s="4" t="s">
        <v>31</v>
      </c>
    </row>
  </sheetData>
  <hyperlinks>
    <hyperlink ref="C3" r:id="rId1" xr:uid="{6271AB2F-D1A6-4F88-B713-F7E274353E1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Mumin Adhami</dc:creator>
  <cp:lastModifiedBy>Adhami, Mumin</cp:lastModifiedBy>
  <dcterms:created xsi:type="dcterms:W3CDTF">2015-06-05T18:17:20Z</dcterms:created>
  <dcterms:modified xsi:type="dcterms:W3CDTF">2026-01-15T01:12:24Z</dcterms:modified>
</cp:coreProperties>
</file>