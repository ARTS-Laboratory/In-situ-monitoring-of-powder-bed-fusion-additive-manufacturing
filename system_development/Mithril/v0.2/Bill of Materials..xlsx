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github\In-situ-monitoring-of-Powder-bed-fusion-additive-manufacturing\system_development\Mithril\v0.2\"/>
    </mc:Choice>
  </mc:AlternateContent>
  <xr:revisionPtr revIDLastSave="0" documentId="13_ncr:1_{3CC494C9-4CFE-434C-AFEB-9CAFA14D0B62}" xr6:coauthVersionLast="47" xr6:coauthVersionMax="47" xr10:uidLastSave="{00000000-0000-0000-0000-000000000000}"/>
  <bookViews>
    <workbookView xWindow="28680" yWindow="-15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E42" i="1"/>
</calcChain>
</file>

<file path=xl/sharedStrings.xml><?xml version="1.0" encoding="utf-8"?>
<sst xmlns="http://schemas.openxmlformats.org/spreadsheetml/2006/main" count="74" uniqueCount="63">
  <si>
    <t>Quantity</t>
  </si>
  <si>
    <t>Cover</t>
  </si>
  <si>
    <t>Xometry + model</t>
  </si>
  <si>
    <t>300mm Housing 1</t>
  </si>
  <si>
    <t>300mm Housing 2</t>
  </si>
  <si>
    <t>Cylinder Spacer</t>
  </si>
  <si>
    <t>3D Printed</t>
  </si>
  <si>
    <t>Cylinder Segment Inner</t>
  </si>
  <si>
    <t>Cylinder Segment Outer</t>
  </si>
  <si>
    <t>Cylinder Segment 1</t>
  </si>
  <si>
    <t>Cylinder Segment Face</t>
  </si>
  <si>
    <t>Camera Bracket</t>
  </si>
  <si>
    <t>Welding glass</t>
  </si>
  <si>
    <t>Cover ^ 2</t>
  </si>
  <si>
    <t>Cover ^ 3</t>
  </si>
  <si>
    <t>Cylinder Segment Holder</t>
  </si>
  <si>
    <t>Head Thing (metal)</t>
  </si>
  <si>
    <t>M5 x 20</t>
  </si>
  <si>
    <t>M5 x 50</t>
  </si>
  <si>
    <t>M4 x 14</t>
  </si>
  <si>
    <t>M6 x 10</t>
  </si>
  <si>
    <t>M5 x 16</t>
  </si>
  <si>
    <t>M4 x 12</t>
  </si>
  <si>
    <t>M3 x 16</t>
  </si>
  <si>
    <t xml:space="preserve">M3 x 8 </t>
  </si>
  <si>
    <t>M3 x 35</t>
  </si>
  <si>
    <t>M3 x 25</t>
  </si>
  <si>
    <t>M5 nut</t>
  </si>
  <si>
    <t>M3 nut</t>
  </si>
  <si>
    <t>M4 nut</t>
  </si>
  <si>
    <t>Flir Camera Blackfly</t>
  </si>
  <si>
    <t>Teledyne Flir Blackfly S USB3 1.6MP Color Camera BFS-U3-16S2C-CS</t>
  </si>
  <si>
    <t>Laser Vision</t>
  </si>
  <si>
    <t>Glass1</t>
  </si>
  <si>
    <t>Glass2</t>
  </si>
  <si>
    <t>Glass3</t>
  </si>
  <si>
    <t>Glass4</t>
  </si>
  <si>
    <t>M6-1 Thread Size, 10 mm Lg, Socket Head Cap Screw - 26LG36|M07000.060.0010 - Grainger</t>
  </si>
  <si>
    <t>M4-0.7 Thread Size, 14 mm Lg, Socket Head Cap Screw - 4XY51|SC2204014-100P - Grainger</t>
  </si>
  <si>
    <t>https://www.grainger.com/product/Socket-Head-Cap-Screw-M5-0-26LG28</t>
  </si>
  <si>
    <t>M5-0.8 Thread Size, 50 mm Lg, Socket Head Cap Screw - 6CE82|M07000.050.0050 - Grainger</t>
  </si>
  <si>
    <t>M5-0.8 Thread Size, 16 mm Lg, Socket Head Cap Screw - 23NN83|M51050.050.0016 - Grainger</t>
  </si>
  <si>
    <t>https://www.grainger.com/product/Socket-Head-Cap-Screw-M4-0-22UC39</t>
  </si>
  <si>
    <t>https://www.grainger.com/product/Socket-Head-Cap-Screw-M3-0-22TZ13</t>
  </si>
  <si>
    <t>https://www.grainger.com/product/Socket-Head-Cap-Screw-M3-0-22TY48</t>
  </si>
  <si>
    <t>https://www.grainger.com/product/Socket-Head-Cap-Screw-M3-0-22UC31</t>
  </si>
  <si>
    <t>https://www.grainger.com/product/Socket-Head-Cap-Screw-M3-0-22UC28</t>
  </si>
  <si>
    <t>https://www.grainger.com/product/Hex-Nut-M3-0-50-Thread-6CA29</t>
  </si>
  <si>
    <t>https://www.grainger.com/product/Hex-Nut-M5-0-80-Thread-22YK31</t>
  </si>
  <si>
    <t>https://www.grainger.com/product/Hex-Nut-M4-0-70-Thread-22UK82</t>
  </si>
  <si>
    <t>Pull Handle</t>
  </si>
  <si>
    <t>https://www.grainger.com/product/JW-WINCO-Pull-Handle-Unthreaded-Holes-813RC8</t>
  </si>
  <si>
    <t>Source 2</t>
  </si>
  <si>
    <t>Source 3</t>
  </si>
  <si>
    <t>Source 1</t>
  </si>
  <si>
    <t>Designator</t>
  </si>
  <si>
    <t>Component</t>
  </si>
  <si>
    <t>Individual Cost</t>
  </si>
  <si>
    <t>Total Cost</t>
  </si>
  <si>
    <t>Total</t>
  </si>
  <si>
    <t>https://www.grainger.com/product/Buna-N-Round-Cord-Buna-N-6RTT7</t>
  </si>
  <si>
    <t>glass oring seal</t>
  </si>
  <si>
    <t>Buna-N Round Cord: Buna-N, Round C.S. Shape, 3 mm C.S., 10 ft Overall Lg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</si>
</sst>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2" fillId="0" borderId="0" xfId="1" applyAlignment="1">
      <alignment horizontal="center"/>
    </xf>
    <xf numFmtId="0" fontId="2" fillId="0" borderId="0" xfId="1" applyAlignment="1">
      <alignment horizontal="left"/>
    </xf>
    <xf numFmtId="0" fontId="0" fillId="0" borderId="0" xfId="0" applyAlignment="1">
      <alignment vertical="center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rainger.com/product/Socket-Head-Cap-Screw-M6-1-26LG36" TargetMode="External"/><Relationship Id="rId13" Type="http://schemas.openxmlformats.org/officeDocument/2006/relationships/hyperlink" Target="https://www.grainger.com/product/Socket-Head-Cap-Screw-M4-0-22UC39" TargetMode="External"/><Relationship Id="rId18" Type="http://schemas.openxmlformats.org/officeDocument/2006/relationships/hyperlink" Target="https://www.grainger.com/product/Hex-Nut-M5-0-80-Thread-22YK31" TargetMode="External"/><Relationship Id="rId3" Type="http://schemas.openxmlformats.org/officeDocument/2006/relationships/hyperlink" Target="https://lasersafety.com/product/p5p10-window/" TargetMode="External"/><Relationship Id="rId21" Type="http://schemas.openxmlformats.org/officeDocument/2006/relationships/hyperlink" Target="https://www.grainger.com/product/Buna-N-Round-Cord-Buna-N-6RTT7" TargetMode="External"/><Relationship Id="rId7" Type="http://schemas.openxmlformats.org/officeDocument/2006/relationships/hyperlink" Target="https://www.mscdirect.com/product/details/62674411" TargetMode="External"/><Relationship Id="rId12" Type="http://schemas.openxmlformats.org/officeDocument/2006/relationships/hyperlink" Target="https://www.grainger.com/product/Socket-Head-Cap-Screw-M5-0-23NN83" TargetMode="External"/><Relationship Id="rId17" Type="http://schemas.openxmlformats.org/officeDocument/2006/relationships/hyperlink" Target="https://www.grainger.com/product/Socket-Head-Cap-Screw-M3-0-22UC28" TargetMode="External"/><Relationship Id="rId2" Type="http://schemas.openxmlformats.org/officeDocument/2006/relationships/hyperlink" Target="https://www.bhphotovideo.com/c/product/1844599-REG/teledyne_flir_bfs_u3_16s2c_cs_blackfly_s_usb3_1_6mp.html?ap=y&amp;smp=Y&amp;gQT=2" TargetMode="External"/><Relationship Id="rId16" Type="http://schemas.openxmlformats.org/officeDocument/2006/relationships/hyperlink" Target="https://www.grainger.com/product/Socket-Head-Cap-Screw-M3-0-22UC31" TargetMode="External"/><Relationship Id="rId20" Type="http://schemas.openxmlformats.org/officeDocument/2006/relationships/hyperlink" Target="https://www.grainger.com/product/Hex-Nut-M4-0-70-Thread-22UK82" TargetMode="External"/><Relationship Id="rId1" Type="http://schemas.openxmlformats.org/officeDocument/2006/relationships/hyperlink" Target="https://www.grainger.com/product/JW-WINCO-Pull-Handle-Unthreaded-Holes-813RC8" TargetMode="External"/><Relationship Id="rId6" Type="http://schemas.openxmlformats.org/officeDocument/2006/relationships/hyperlink" Target="https://www.mscdirect.com/product/details/62674437" TargetMode="External"/><Relationship Id="rId11" Type="http://schemas.openxmlformats.org/officeDocument/2006/relationships/hyperlink" Target="https://www.grainger.com/product/Socket-Head-Cap-Screw-M5-0-6CE82" TargetMode="External"/><Relationship Id="rId5" Type="http://schemas.openxmlformats.org/officeDocument/2006/relationships/hyperlink" Target="https://www.mscdirect.com/product/details/62674403" TargetMode="External"/><Relationship Id="rId15" Type="http://schemas.openxmlformats.org/officeDocument/2006/relationships/hyperlink" Target="https://www.grainger.com/product/Socket-Head-Cap-Screw-M3-0-22TY48" TargetMode="External"/><Relationship Id="rId10" Type="http://schemas.openxmlformats.org/officeDocument/2006/relationships/hyperlink" Target="https://www.grainger.com/product/Socket-Head-Cap-Screw-M5-0-26LG28" TargetMode="External"/><Relationship Id="rId19" Type="http://schemas.openxmlformats.org/officeDocument/2006/relationships/hyperlink" Target="https://www.grainger.com/product/Hex-Nut-M3-0-50-Thread-6CA29" TargetMode="External"/><Relationship Id="rId4" Type="http://schemas.openxmlformats.org/officeDocument/2006/relationships/hyperlink" Target="https://www.mscdirect.com/product/details/62674445" TargetMode="External"/><Relationship Id="rId9" Type="http://schemas.openxmlformats.org/officeDocument/2006/relationships/hyperlink" Target="https://www.grainger.com/product/Socket-Head-Cap-Screw-M4-0-4XY51" TargetMode="External"/><Relationship Id="rId14" Type="http://schemas.openxmlformats.org/officeDocument/2006/relationships/hyperlink" Target="https://www.grainger.com/product/Socket-Head-Cap-Screw-M3-0-22TZ13" TargetMode="External"/><Relationship Id="rId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selection activeCell="F8" sqref="F8"/>
    </sheetView>
  </sheetViews>
  <sheetFormatPr defaultRowHeight="15" x14ac:dyDescent="0.25"/>
  <cols>
    <col min="1" max="1" width="32" style="1" customWidth="1"/>
    <col min="2" max="2" width="22.7109375" style="1" bestFit="1" customWidth="1"/>
    <col min="3" max="3" width="13.85546875" style="1" customWidth="1"/>
    <col min="4" max="4" width="21.7109375" customWidth="1"/>
    <col min="5" max="5" width="24.28515625" customWidth="1"/>
    <col min="6" max="6" width="84" style="1" bestFit="1" customWidth="1"/>
    <col min="7" max="16384" width="9.140625" style="1"/>
  </cols>
  <sheetData>
    <row r="1" spans="1:10" x14ac:dyDescent="0.25">
      <c r="A1" s="4" t="s">
        <v>55</v>
      </c>
      <c r="B1" s="4" t="s">
        <v>56</v>
      </c>
      <c r="C1" s="1" t="s">
        <v>0</v>
      </c>
      <c r="D1" s="4" t="s">
        <v>57</v>
      </c>
      <c r="E1" s="4" t="s">
        <v>58</v>
      </c>
      <c r="F1" s="1" t="s">
        <v>54</v>
      </c>
      <c r="G1" s="1" t="s">
        <v>52</v>
      </c>
      <c r="H1" s="1" t="s">
        <v>53</v>
      </c>
    </row>
    <row r="2" spans="1:10" x14ac:dyDescent="0.25">
      <c r="A2" s="1" t="s">
        <v>1</v>
      </c>
      <c r="C2" s="1">
        <v>1</v>
      </c>
      <c r="D2" s="5"/>
      <c r="E2" s="5"/>
      <c r="F2" s="7" t="s">
        <v>2</v>
      </c>
    </row>
    <row r="3" spans="1:10" x14ac:dyDescent="0.25">
      <c r="A3" s="1" t="s">
        <v>3</v>
      </c>
      <c r="C3" s="1">
        <v>1</v>
      </c>
      <c r="D3" s="5"/>
      <c r="E3" s="5"/>
      <c r="F3" s="7" t="s">
        <v>6</v>
      </c>
    </row>
    <row r="4" spans="1:10" x14ac:dyDescent="0.25">
      <c r="A4" s="1" t="s">
        <v>4</v>
      </c>
      <c r="C4" s="1">
        <v>1</v>
      </c>
      <c r="D4" s="5"/>
      <c r="E4" s="5"/>
      <c r="F4" s="7" t="s">
        <v>6</v>
      </c>
    </row>
    <row r="5" spans="1:10" x14ac:dyDescent="0.25">
      <c r="A5" s="1" t="s">
        <v>5</v>
      </c>
      <c r="C5" s="1">
        <v>1</v>
      </c>
      <c r="D5" s="5"/>
      <c r="E5" s="5"/>
      <c r="F5" s="7" t="s">
        <v>6</v>
      </c>
    </row>
    <row r="6" spans="1:10" x14ac:dyDescent="0.25">
      <c r="A6" s="1" t="s">
        <v>7</v>
      </c>
      <c r="C6" s="1">
        <v>1</v>
      </c>
      <c r="D6" s="5"/>
      <c r="E6" s="5"/>
      <c r="F6" s="7" t="s">
        <v>6</v>
      </c>
    </row>
    <row r="7" spans="1:10" x14ac:dyDescent="0.25">
      <c r="A7" s="1" t="s">
        <v>8</v>
      </c>
      <c r="C7" s="1">
        <v>1</v>
      </c>
      <c r="D7" s="5"/>
      <c r="E7" s="5"/>
      <c r="F7" s="7" t="s">
        <v>6</v>
      </c>
    </row>
    <row r="8" spans="1:10" x14ac:dyDescent="0.25">
      <c r="A8" s="1" t="s">
        <v>9</v>
      </c>
      <c r="C8" s="1">
        <v>1</v>
      </c>
      <c r="D8" s="5"/>
      <c r="E8" s="5"/>
      <c r="F8" s="7" t="s">
        <v>6</v>
      </c>
    </row>
    <row r="9" spans="1:10" x14ac:dyDescent="0.25">
      <c r="A9" s="1" t="s">
        <v>10</v>
      </c>
      <c r="C9" s="1">
        <v>1</v>
      </c>
      <c r="D9" s="5"/>
      <c r="E9" s="5"/>
      <c r="F9" s="7" t="s">
        <v>6</v>
      </c>
    </row>
    <row r="10" spans="1:10" x14ac:dyDescent="0.25">
      <c r="A10" s="1" t="s">
        <v>11</v>
      </c>
      <c r="C10" s="1">
        <v>1</v>
      </c>
      <c r="D10" s="5"/>
      <c r="E10" s="5"/>
      <c r="F10" s="7" t="s">
        <v>6</v>
      </c>
    </row>
    <row r="11" spans="1:10" x14ac:dyDescent="0.25">
      <c r="A11" s="1" t="s">
        <v>30</v>
      </c>
      <c r="C11" s="1">
        <v>1</v>
      </c>
      <c r="D11" s="5"/>
      <c r="E11" s="5"/>
      <c r="F11" s="3" t="s">
        <v>31</v>
      </c>
    </row>
    <row r="12" spans="1:10" x14ac:dyDescent="0.25">
      <c r="A12" s="1" t="s">
        <v>12</v>
      </c>
      <c r="C12" s="1">
        <v>1</v>
      </c>
      <c r="D12" s="5"/>
      <c r="E12" s="5"/>
      <c r="F12" s="3" t="s">
        <v>32</v>
      </c>
      <c r="G12" s="2" t="s">
        <v>33</v>
      </c>
      <c r="H12" s="2" t="s">
        <v>34</v>
      </c>
      <c r="I12" s="2" t="s">
        <v>35</v>
      </c>
      <c r="J12" s="2" t="s">
        <v>36</v>
      </c>
    </row>
    <row r="13" spans="1:10" x14ac:dyDescent="0.25">
      <c r="A13" s="1" t="s">
        <v>13</v>
      </c>
      <c r="C13" s="1">
        <v>1</v>
      </c>
      <c r="D13" s="5"/>
      <c r="E13" s="5"/>
      <c r="F13" s="7" t="s">
        <v>6</v>
      </c>
    </row>
    <row r="14" spans="1:10" x14ac:dyDescent="0.25">
      <c r="A14" s="1" t="s">
        <v>14</v>
      </c>
      <c r="C14" s="1">
        <v>1</v>
      </c>
      <c r="D14" s="5"/>
      <c r="E14" s="5"/>
      <c r="F14" s="7" t="s">
        <v>6</v>
      </c>
    </row>
    <row r="15" spans="1:10" x14ac:dyDescent="0.25">
      <c r="A15" s="1" t="s">
        <v>15</v>
      </c>
      <c r="C15" s="1">
        <v>1</v>
      </c>
      <c r="D15" s="5"/>
      <c r="E15" s="5"/>
      <c r="F15" s="7" t="s">
        <v>6</v>
      </c>
    </row>
    <row r="16" spans="1:10" x14ac:dyDescent="0.25">
      <c r="A16" s="1" t="s">
        <v>16</v>
      </c>
      <c r="C16" s="1">
        <v>1</v>
      </c>
      <c r="D16" s="5"/>
      <c r="E16" s="5"/>
      <c r="F16" s="7" t="s">
        <v>2</v>
      </c>
    </row>
    <row r="17" spans="1:6" x14ac:dyDescent="0.25">
      <c r="A17" s="1" t="s">
        <v>20</v>
      </c>
      <c r="C17" s="1">
        <v>4</v>
      </c>
      <c r="D17" s="5"/>
      <c r="E17" s="5"/>
      <c r="F17" s="3" t="s">
        <v>37</v>
      </c>
    </row>
    <row r="18" spans="1:6" x14ac:dyDescent="0.25">
      <c r="A18" s="1" t="s">
        <v>19</v>
      </c>
      <c r="C18" s="1">
        <v>2</v>
      </c>
      <c r="D18" s="5"/>
      <c r="E18" s="5"/>
      <c r="F18" s="3" t="s">
        <v>38</v>
      </c>
    </row>
    <row r="19" spans="1:6" x14ac:dyDescent="0.25">
      <c r="A19" s="1" t="s">
        <v>17</v>
      </c>
      <c r="C19" s="1">
        <v>10</v>
      </c>
      <c r="D19" s="5"/>
      <c r="E19" s="5"/>
      <c r="F19" s="3" t="s">
        <v>39</v>
      </c>
    </row>
    <row r="20" spans="1:6" x14ac:dyDescent="0.25">
      <c r="A20" s="1" t="s">
        <v>18</v>
      </c>
      <c r="C20" s="1">
        <v>9</v>
      </c>
      <c r="D20" s="5"/>
      <c r="E20" s="5"/>
      <c r="F20" s="3" t="s">
        <v>40</v>
      </c>
    </row>
    <row r="21" spans="1:6" x14ac:dyDescent="0.25">
      <c r="A21" s="1" t="s">
        <v>21</v>
      </c>
      <c r="C21" s="1">
        <v>10</v>
      </c>
      <c r="D21" s="5"/>
      <c r="E21" s="5"/>
      <c r="F21" s="3" t="s">
        <v>41</v>
      </c>
    </row>
    <row r="22" spans="1:6" x14ac:dyDescent="0.25">
      <c r="A22" s="1" t="s">
        <v>22</v>
      </c>
      <c r="C22" s="1">
        <v>14</v>
      </c>
      <c r="D22" s="5"/>
      <c r="E22" s="5"/>
      <c r="F22" s="3" t="s">
        <v>42</v>
      </c>
    </row>
    <row r="23" spans="1:6" x14ac:dyDescent="0.25">
      <c r="A23" s="1" t="s">
        <v>23</v>
      </c>
      <c r="C23" s="1">
        <v>2</v>
      </c>
      <c r="D23" s="5"/>
      <c r="E23" s="5"/>
      <c r="F23" s="3" t="s">
        <v>43</v>
      </c>
    </row>
    <row r="24" spans="1:6" x14ac:dyDescent="0.25">
      <c r="A24" s="1" t="s">
        <v>24</v>
      </c>
      <c r="C24" s="1">
        <v>3</v>
      </c>
      <c r="D24" s="5"/>
      <c r="E24" s="5"/>
      <c r="F24" s="3" t="s">
        <v>44</v>
      </c>
    </row>
    <row r="25" spans="1:6" x14ac:dyDescent="0.25">
      <c r="A25" s="1" t="s">
        <v>25</v>
      </c>
      <c r="C25" s="1">
        <v>2</v>
      </c>
      <c r="D25" s="5"/>
      <c r="E25" s="5"/>
      <c r="F25" s="3" t="s">
        <v>45</v>
      </c>
    </row>
    <row r="26" spans="1:6" x14ac:dyDescent="0.25">
      <c r="A26" s="1" t="s">
        <v>26</v>
      </c>
      <c r="C26" s="1">
        <v>1</v>
      </c>
      <c r="D26" s="5"/>
      <c r="E26" s="5"/>
      <c r="F26" s="3" t="s">
        <v>46</v>
      </c>
    </row>
    <row r="27" spans="1:6" x14ac:dyDescent="0.25">
      <c r="A27" s="1" t="s">
        <v>27</v>
      </c>
      <c r="C27" s="1">
        <v>21</v>
      </c>
      <c r="D27" s="5"/>
      <c r="E27" s="5"/>
      <c r="F27" s="3" t="s">
        <v>48</v>
      </c>
    </row>
    <row r="28" spans="1:6" x14ac:dyDescent="0.25">
      <c r="A28" s="1" t="s">
        <v>28</v>
      </c>
      <c r="C28" s="1">
        <v>3</v>
      </c>
      <c r="D28" s="5"/>
      <c r="E28" s="5"/>
      <c r="F28" s="3" t="s">
        <v>47</v>
      </c>
    </row>
    <row r="29" spans="1:6" x14ac:dyDescent="0.25">
      <c r="A29" s="1" t="s">
        <v>29</v>
      </c>
      <c r="C29" s="1">
        <v>2</v>
      </c>
      <c r="D29" s="6"/>
      <c r="E29" s="5"/>
      <c r="F29" s="3" t="s">
        <v>49</v>
      </c>
    </row>
    <row r="30" spans="1:6" x14ac:dyDescent="0.25">
      <c r="A30" s="1" t="s">
        <v>50</v>
      </c>
      <c r="C30" s="1">
        <v>2</v>
      </c>
      <c r="D30" s="5"/>
      <c r="E30" s="5"/>
      <c r="F30" s="3" t="s">
        <v>51</v>
      </c>
    </row>
    <row r="31" spans="1:6" x14ac:dyDescent="0.25">
      <c r="A31" s="1" t="s">
        <v>61</v>
      </c>
      <c r="B31" s="1" t="s">
        <v>62</v>
      </c>
      <c r="C31" s="1">
        <v>1</v>
      </c>
      <c r="D31" s="5">
        <v>15.85</v>
      </c>
      <c r="E31" s="5">
        <f>C31*D31</f>
        <v>15.85</v>
      </c>
      <c r="F31" s="3" t="s">
        <v>60</v>
      </c>
    </row>
    <row r="32" spans="1:6" x14ac:dyDescent="0.25">
      <c r="D32" s="5"/>
      <c r="E32" s="5"/>
      <c r="F32" s="7"/>
    </row>
    <row r="33" spans="4:6" x14ac:dyDescent="0.25">
      <c r="D33" s="4"/>
      <c r="E33" s="4"/>
      <c r="F33" s="7"/>
    </row>
    <row r="34" spans="4:6" x14ac:dyDescent="0.25">
      <c r="D34" s="5"/>
      <c r="E34" s="5"/>
    </row>
    <row r="35" spans="4:6" x14ac:dyDescent="0.25">
      <c r="D35" s="5"/>
      <c r="E35" s="5"/>
    </row>
    <row r="36" spans="4:6" x14ac:dyDescent="0.25">
      <c r="D36" s="5"/>
      <c r="E36" s="5"/>
    </row>
    <row r="37" spans="4:6" x14ac:dyDescent="0.25">
      <c r="D37" s="4"/>
      <c r="E37" s="5"/>
    </row>
    <row r="38" spans="4:6" x14ac:dyDescent="0.25">
      <c r="D38" s="5"/>
      <c r="E38" s="5"/>
    </row>
    <row r="39" spans="4:6" x14ac:dyDescent="0.25">
      <c r="D39" s="4"/>
      <c r="E39" s="4"/>
    </row>
    <row r="40" spans="4:6" x14ac:dyDescent="0.25">
      <c r="D40" s="4"/>
      <c r="E40" s="4"/>
    </row>
    <row r="42" spans="4:6" x14ac:dyDescent="0.25">
      <c r="D42" s="6" t="s">
        <v>59</v>
      </c>
      <c r="E42" s="5">
        <f>SUM(E2:E41)</f>
        <v>15.85</v>
      </c>
    </row>
  </sheetData>
  <phoneticPr fontId="1" type="noConversion"/>
  <hyperlinks>
    <hyperlink ref="F30" r:id="rId1" xr:uid="{A95FFE79-174E-41AB-9DF1-9BD2F928EE60}"/>
    <hyperlink ref="F11" r:id="rId2" display="https://www.bhphotovideo.com/c/product/1844599-REG/teledyne_flir_bfs_u3_16s2c_cs_blackfly_s_usb3_1_6mp.html?ap=y&amp;smp=Y&amp;gQT=2" xr:uid="{4891E375-734A-4A4B-9BAC-3964BBD1F328}"/>
    <hyperlink ref="F12" r:id="rId3" display="Glass 1, Glass 2, Glass 3, Glass 4, Laser Vision" xr:uid="{13FCF727-7442-45D9-BB4D-80C533FF6B3E}"/>
    <hyperlink ref="G12" r:id="rId4" xr:uid="{97ABF20C-BCB8-4311-A5AF-ABA3BC0637EB}"/>
    <hyperlink ref="H12" r:id="rId5" xr:uid="{F7D868DF-A5DC-4618-AC89-6027C362519A}"/>
    <hyperlink ref="I12" r:id="rId6" xr:uid="{CFC5186F-8965-491E-B522-5CBD804FA926}"/>
    <hyperlink ref="J12" r:id="rId7" xr:uid="{1F18F390-9DA9-4F4F-BB2A-03391AD9C98B}"/>
    <hyperlink ref="F17" r:id="rId8" display="https://www.grainger.com/product/Socket-Head-Cap-Screw-M6-1-26LG36" xr:uid="{B78E0EA0-AA31-4A36-8070-5C3BCD250734}"/>
    <hyperlink ref="F18" r:id="rId9" display="https://www.grainger.com/product/Socket-Head-Cap-Screw-M4-0-4XY51" xr:uid="{50795801-363E-451B-98E8-5DB674E61DED}"/>
    <hyperlink ref="F19" r:id="rId10" xr:uid="{A2FD2C71-E738-4880-8DBB-B86062E1F360}"/>
    <hyperlink ref="F20" r:id="rId11" display="https://www.grainger.com/product/Socket-Head-Cap-Screw-M5-0-6CE82" xr:uid="{3B69C43E-E6EC-43D9-A46A-D45EDEF1261E}"/>
    <hyperlink ref="F21" r:id="rId12" display="https://www.grainger.com/product/Socket-Head-Cap-Screw-M5-0-23NN83" xr:uid="{4B6EE7E4-0EF5-4B69-9856-764F6BB875AB}"/>
    <hyperlink ref="F22" r:id="rId13" xr:uid="{6BF3A607-9EBD-46A5-A980-B0061966A5B8}"/>
    <hyperlink ref="F23" r:id="rId14" xr:uid="{8339ADAE-D606-406F-A861-7448814E0507}"/>
    <hyperlink ref="F24" r:id="rId15" xr:uid="{586FC2CC-EC22-409B-8101-72A00570BC5C}"/>
    <hyperlink ref="F25" r:id="rId16" xr:uid="{B0200AF6-DF0E-4DD1-BDD0-C23E5B8BC059}"/>
    <hyperlink ref="F26" r:id="rId17" xr:uid="{3E55827E-C027-461F-83FE-74DA8471DFE9}"/>
    <hyperlink ref="F27" r:id="rId18" xr:uid="{3C1F6BAB-E456-4AE7-8FA5-FD86B5DA18B9}"/>
    <hyperlink ref="F28" r:id="rId19" xr:uid="{E36A8B82-45C1-4D1D-8ACE-1610F6F40364}"/>
    <hyperlink ref="F29" r:id="rId20" xr:uid="{10F24074-5B35-4864-96D9-0BA807DCAE60}"/>
    <hyperlink ref="F31" r:id="rId21" xr:uid="{845FC70C-B0FA-4D0B-B824-9FA08D2FF1BF}"/>
  </hyperlinks>
  <pageMargins left="0.7" right="0.7" top="0.75" bottom="0.75" header="0.3" footer="0.3"/>
  <pageSetup orientation="portrait" horizontalDpi="300" verticalDpi="300" r:id="rId2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Thienan Hoang</dc:creator>
  <cp:lastModifiedBy>Downey, Austin</cp:lastModifiedBy>
  <dcterms:created xsi:type="dcterms:W3CDTF">2015-06-05T18:17:20Z</dcterms:created>
  <dcterms:modified xsi:type="dcterms:W3CDTF">2025-11-03T21:00:17Z</dcterms:modified>
</cp:coreProperties>
</file>