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system_development\Orichalcum\v0.2\Software_design\v2-cover-control\"/>
    </mc:Choice>
  </mc:AlternateContent>
  <xr:revisionPtr revIDLastSave="0" documentId="13_ncr:1_{D063A036-9C91-402B-AA8B-3268F6780DF6}" xr6:coauthVersionLast="47" xr6:coauthVersionMax="47" xr10:uidLastSave="{00000000-0000-0000-0000-000000000000}"/>
  <bookViews>
    <workbookView xWindow="-4980" yWindow="-16320" windowWidth="29040" windowHeight="15720" xr2:uid="{00000000-000D-0000-FFFF-FFFF00000000}"/>
  </bookViews>
  <sheets>
    <sheet name="Scan Parameters" sheetId="2" r:id="rId1"/>
    <sheet name="Device Setting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21" i="1"/>
  <c r="G22" i="1"/>
  <c r="G23" i="1"/>
  <c r="G18" i="1"/>
</calcChain>
</file>

<file path=xl/sharedStrings.xml><?xml version="1.0" encoding="utf-8"?>
<sst xmlns="http://schemas.openxmlformats.org/spreadsheetml/2006/main" count="215" uniqueCount="141">
  <si>
    <t>Receiver</t>
  </si>
  <si>
    <t>ECHO</t>
  </si>
  <si>
    <t>Rel. Gain (dB)</t>
  </si>
  <si>
    <t>HP Filter (MHz)</t>
  </si>
  <si>
    <t>LP Filter (MHz)</t>
  </si>
  <si>
    <t>PRF Rate</t>
  </si>
  <si>
    <t>Trigger</t>
  </si>
  <si>
    <t>Pulse Amplitude</t>
  </si>
  <si>
    <t>Pulse Energy</t>
  </si>
  <si>
    <t>LOW, 4</t>
  </si>
  <si>
    <t>Damping</t>
  </si>
  <si>
    <t>Bandwidth</t>
  </si>
  <si>
    <t>3 MHz</t>
  </si>
  <si>
    <t>Range</t>
  </si>
  <si>
    <t>Tracking Filter</t>
  </si>
  <si>
    <t>Off</t>
  </si>
  <si>
    <t>HP Filter</t>
  </si>
  <si>
    <t>8 kHz</t>
  </si>
  <si>
    <t>(freq, ×100Hz)</t>
  </si>
  <si>
    <t>Pulser</t>
  </si>
  <si>
    <t>LDV</t>
  </si>
  <si>
    <t>PXI</t>
  </si>
  <si>
    <t>Min Sample Rate</t>
  </si>
  <si>
    <t>2.5G</t>
  </si>
  <si>
    <t>Input Impedance</t>
  </si>
  <si>
    <t>50 ohms</t>
  </si>
  <si>
    <t>Min Record Length</t>
  </si>
  <si>
    <t>Timeout</t>
  </si>
  <si>
    <t>Vertical Range</t>
  </si>
  <si>
    <t>Probe Attenuation</t>
  </si>
  <si>
    <t>Max Input Freq</t>
  </si>
  <si>
    <t>Input Impedence</t>
  </si>
  <si>
    <t>Source</t>
  </si>
  <si>
    <t>Level</t>
  </si>
  <si>
    <t>Slope</t>
  </si>
  <si>
    <t>Coupling</t>
  </si>
  <si>
    <t>Delay</t>
  </si>
  <si>
    <t>50u</t>
  </si>
  <si>
    <t>2.5M</t>
  </si>
  <si>
    <t>1 mega ohm</t>
  </si>
  <si>
    <t>External TRIG</t>
  </si>
  <si>
    <t>Negative</t>
  </si>
  <si>
    <t>DC</t>
  </si>
  <si>
    <t>1)</t>
  </si>
  <si>
    <t>2)</t>
  </si>
  <si>
    <t>3)</t>
  </si>
  <si>
    <t>4)</t>
  </si>
  <si>
    <t>5)</t>
  </si>
  <si>
    <t>6)</t>
  </si>
  <si>
    <t>7)</t>
  </si>
  <si>
    <t>100 mm/s</t>
  </si>
  <si>
    <t>Scale:</t>
  </si>
  <si>
    <t>V/deg</t>
  </si>
  <si>
    <t>Calculated X offsets</t>
  </si>
  <si>
    <t>for scan angles</t>
  </si>
  <si>
    <t>*80</t>
  </si>
  <si>
    <t>*78</t>
  </si>
  <si>
    <t>*85</t>
  </si>
  <si>
    <t>*83</t>
  </si>
  <si>
    <t>*87</t>
  </si>
  <si>
    <t>File Name</t>
  </si>
  <si>
    <r>
      <t xml:space="preserve">For use with </t>
    </r>
    <r>
      <rPr>
        <b/>
        <sz val="10"/>
        <color rgb="FF000000"/>
        <rFont val="Arial"/>
        <family val="2"/>
        <scheme val="minor"/>
      </rPr>
      <t>Layer Scan V6</t>
    </r>
  </si>
  <si>
    <t xml:space="preserve">x count </t>
  </si>
  <si>
    <t>y count</t>
  </si>
  <si>
    <t>x offset</t>
  </si>
  <si>
    <t>y offset</t>
  </si>
  <si>
    <t>distance</t>
  </si>
  <si>
    <t>Test Scan 1</t>
  </si>
  <si>
    <t>PXI1Slot2</t>
  </si>
  <si>
    <t>1sqft Metal Sheet</t>
  </si>
  <si>
    <t>Channel 0</t>
  </si>
  <si>
    <t>Layer Scan V6</t>
  </si>
  <si>
    <t>to find location of a scan point:</t>
  </si>
  <si>
    <t>x count</t>
  </si>
  <si>
    <t>y ciount</t>
  </si>
  <si>
    <t>(x location)</t>
  </si>
  <si>
    <t>(y location)</t>
  </si>
  <si>
    <t>maximum scan area:</t>
  </si>
  <si>
    <t xml:space="preserve">distance = </t>
  </si>
  <si>
    <t>approx area</t>
  </si>
  <si>
    <t>100mm^2</t>
  </si>
  <si>
    <t>Test Scan 2</t>
  </si>
  <si>
    <t>130mm^2</t>
  </si>
  <si>
    <t>150mm^2</t>
  </si>
  <si>
    <t>Test Scan 3</t>
  </si>
  <si>
    <t>(HTML generated, data folder overwritten)</t>
  </si>
  <si>
    <t>Test Scan 4</t>
  </si>
  <si>
    <t>build plate with square tape</t>
  </si>
  <si>
    <t>Test Scan 5</t>
  </si>
  <si>
    <t>tape square on build plate</t>
  </si>
  <si>
    <t>averages</t>
  </si>
  <si>
    <t>25mm^2</t>
  </si>
  <si>
    <t>notes</t>
  </si>
  <si>
    <t>noisey/didn't run</t>
  </si>
  <si>
    <t>Test Scan 6</t>
  </si>
  <si>
    <t xml:space="preserve">Sample
Rate </t>
  </si>
  <si>
    <t>Min Record
Length</t>
  </si>
  <si>
    <t>Resource
Name</t>
  </si>
  <si>
    <t>Trigger
Source</t>
  </si>
  <si>
    <t>Channel 0,1</t>
  </si>
  <si>
    <t>10k</t>
  </si>
  <si>
    <t>*</t>
  </si>
  <si>
    <t>[1]</t>
  </si>
  <si>
    <t>[2]</t>
  </si>
  <si>
    <t>ECHO: sending and receiving pulse from same transducer; THROUGH: reading signal from another transducer</t>
  </si>
  <si>
    <t>INT: Trigger from Pulser DPR300; EXT: Trigger from PXI (or external device)</t>
  </si>
  <si>
    <t>INT</t>
  </si>
  <si>
    <t>PULSER FOOTNOTES</t>
  </si>
  <si>
    <t xml:space="preserve"> </t>
  </si>
  <si>
    <t>Digitizer
Channel</t>
  </si>
  <si>
    <t>External Trig</t>
  </si>
  <si>
    <t>Specimen</t>
  </si>
  <si>
    <t>interal delay of 20us</t>
  </si>
  <si>
    <t>DATA CHANNELS CORRECTED</t>
  </si>
  <si>
    <t>Signal Scan 1</t>
  </si>
  <si>
    <t>Channel 1</t>
  </si>
  <si>
    <t>(data of interest: 'point-000-000-' in center)</t>
  </si>
  <si>
    <t>35mm^2</t>
  </si>
  <si>
    <t>20k</t>
  </si>
  <si>
    <t>200k</t>
  </si>
  <si>
    <t>Vibration Scan 1</t>
  </si>
  <si>
    <t>Vibration Scan 2</t>
  </si>
  <si>
    <t>Vibration Scan A</t>
  </si>
  <si>
    <t>Vibration Scan B</t>
  </si>
  <si>
    <t>point on welded surface</t>
  </si>
  <si>
    <t>point on bare build plate</t>
  </si>
  <si>
    <t>(4 square build plate)</t>
  </si>
  <si>
    <t>Signal Scan 2</t>
  </si>
  <si>
    <t>all squares on 4square plate</t>
  </si>
  <si>
    <t>step</t>
  </si>
  <si>
    <t>SS heatmap generated</t>
  </si>
  <si>
    <t>center of build plate</t>
  </si>
  <si>
    <t>Vibration Scan 3</t>
  </si>
  <si>
    <t>first square</t>
  </si>
  <si>
    <t>record length too short to catch meaningful waveforms</t>
  </si>
  <si>
    <t>**</t>
  </si>
  <si>
    <t>max freq = 2.25MHz</t>
  </si>
  <si>
    <t>28mm^2</t>
  </si>
  <si>
    <t>Vibration Scan 4</t>
  </si>
  <si>
    <t>same as Row16 but with both channels</t>
  </si>
  <si>
    <t>3D SS HTML &amp; 2D heatmap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</si>
</sst>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 vertical="center" textRotation="90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535266</xdr:colOff>
      <xdr:row>0</xdr:row>
      <xdr:rowOff>41944</xdr:rowOff>
    </xdr:from>
    <xdr:to>
      <xdr:col>11</xdr:col>
      <xdr:colOff>4147887</xdr:colOff>
      <xdr:row>13</xdr:row>
      <xdr:rowOff>176028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53C1D-2DFE-8EA8-1EF6-0BD2986F23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93"/>
        <a:stretch/>
      </xdr:blipFill>
      <xdr:spPr bwMode="auto">
        <a:xfrm>
          <a:off x="6868954" y="41944"/>
          <a:ext cx="6276126" cy="267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15313</xdr:colOff>
      <xdr:row>20</xdr:row>
      <xdr:rowOff>20972</xdr:rowOff>
    </xdr:from>
    <xdr:to>
      <xdr:col>11</xdr:col>
      <xdr:colOff>3854461</xdr:colOff>
      <xdr:row>43</xdr:row>
      <xdr:rowOff>27963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FA26F3-D258-99C7-056F-70232EB75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81515" y="3935834"/>
          <a:ext cx="5370139" cy="4509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5D31-C167-4FC4-94A5-027E9DD85F49}">
  <dimension ref="B2:P19"/>
  <sheetViews>
    <sheetView tabSelected="1" workbookViewId="0">
      <selection activeCell="H22" sqref="H22"/>
    </sheetView>
  </sheetViews>
  <sheetFormatPr defaultRowHeight="13.2" x14ac:dyDescent="0.25"/>
  <cols>
    <col min="1" max="1" width="6.21875" customWidth="1"/>
    <col min="2" max="2" width="16.21875" style="3" bestFit="1" customWidth="1"/>
    <col min="3" max="3" width="26.21875" bestFit="1" customWidth="1"/>
    <col min="4" max="4" width="11.77734375" customWidth="1"/>
    <col min="5" max="5" width="11.44140625" customWidth="1"/>
    <col min="6" max="6" width="10.21875" customWidth="1"/>
    <col min="7" max="7" width="7.88671875" customWidth="1"/>
    <col min="8" max="8" width="10.88671875" bestFit="1" customWidth="1"/>
    <col min="9" max="9" width="8" customWidth="1"/>
    <col min="10" max="12" width="8.109375" customWidth="1"/>
    <col min="13" max="13" width="5.21875" bestFit="1" customWidth="1"/>
    <col min="14" max="14" width="9.6640625" customWidth="1"/>
    <col min="15" max="15" width="11.44140625" bestFit="1" customWidth="1"/>
    <col min="16" max="16" width="36.33203125" bestFit="1" customWidth="1"/>
  </cols>
  <sheetData>
    <row r="2" spans="2:16" x14ac:dyDescent="0.25">
      <c r="B2" s="17" t="s">
        <v>61</v>
      </c>
      <c r="C2" s="17"/>
      <c r="D2" s="5"/>
      <c r="E2" s="6"/>
    </row>
    <row r="3" spans="2:16" x14ac:dyDescent="0.25">
      <c r="B3"/>
    </row>
    <row r="4" spans="2:16" ht="26.4" x14ac:dyDescent="0.25">
      <c r="B4" s="9" t="s">
        <v>60</v>
      </c>
      <c r="C4" s="9" t="s">
        <v>111</v>
      </c>
      <c r="D4" s="12" t="s">
        <v>109</v>
      </c>
      <c r="E4" s="12" t="s">
        <v>98</v>
      </c>
      <c r="F4" s="12" t="s">
        <v>97</v>
      </c>
      <c r="G4" s="12" t="s">
        <v>95</v>
      </c>
      <c r="H4" s="12" t="s">
        <v>96</v>
      </c>
      <c r="I4" s="13" t="s">
        <v>62</v>
      </c>
      <c r="J4" s="13" t="s">
        <v>63</v>
      </c>
      <c r="K4" s="13" t="s">
        <v>64</v>
      </c>
      <c r="L4" s="13" t="s">
        <v>65</v>
      </c>
      <c r="M4" s="13" t="s">
        <v>129</v>
      </c>
      <c r="N4" s="14" t="s">
        <v>90</v>
      </c>
      <c r="O4" s="9" t="s">
        <v>79</v>
      </c>
      <c r="P4" s="16" t="s">
        <v>92</v>
      </c>
    </row>
    <row r="5" spans="2:16" x14ac:dyDescent="0.25">
      <c r="B5" s="5" t="s">
        <v>67</v>
      </c>
      <c r="C5" s="6" t="s">
        <v>69</v>
      </c>
      <c r="D5" s="6" t="s">
        <v>70</v>
      </c>
      <c r="E5" s="6" t="s">
        <v>110</v>
      </c>
      <c r="F5" s="6" t="s">
        <v>68</v>
      </c>
      <c r="G5" s="6"/>
      <c r="H5" s="6"/>
      <c r="I5">
        <v>50</v>
      </c>
      <c r="J5">
        <v>50</v>
      </c>
      <c r="K5">
        <v>-700</v>
      </c>
      <c r="L5">
        <v>500</v>
      </c>
      <c r="M5">
        <v>14</v>
      </c>
      <c r="O5" s="6" t="s">
        <v>80</v>
      </c>
    </row>
    <row r="6" spans="2:16" x14ac:dyDescent="0.25">
      <c r="B6" s="5" t="s">
        <v>81</v>
      </c>
      <c r="C6" s="6" t="s">
        <v>69</v>
      </c>
      <c r="D6" s="6" t="s">
        <v>70</v>
      </c>
      <c r="E6" s="6" t="s">
        <v>110</v>
      </c>
      <c r="F6" s="6" t="s">
        <v>68</v>
      </c>
      <c r="G6" s="6"/>
      <c r="H6" s="6"/>
      <c r="I6">
        <v>60</v>
      </c>
      <c r="J6">
        <v>60</v>
      </c>
      <c r="K6">
        <v>-900</v>
      </c>
      <c r="L6">
        <v>200</v>
      </c>
      <c r="M6">
        <v>15</v>
      </c>
      <c r="O6" s="6" t="s">
        <v>82</v>
      </c>
    </row>
    <row r="7" spans="2:16" x14ac:dyDescent="0.25">
      <c r="B7" s="5" t="s">
        <v>84</v>
      </c>
      <c r="C7" s="6" t="s">
        <v>69</v>
      </c>
      <c r="D7" s="6" t="s">
        <v>70</v>
      </c>
      <c r="E7" s="6" t="s">
        <v>110</v>
      </c>
      <c r="F7" s="6" t="s">
        <v>68</v>
      </c>
      <c r="G7" s="6"/>
      <c r="H7" s="6"/>
      <c r="I7">
        <v>50</v>
      </c>
      <c r="J7">
        <v>50</v>
      </c>
      <c r="K7">
        <v>-1000</v>
      </c>
      <c r="L7">
        <v>0</v>
      </c>
      <c r="M7">
        <v>20</v>
      </c>
      <c r="O7" s="6" t="s">
        <v>83</v>
      </c>
      <c r="P7" t="s">
        <v>85</v>
      </c>
    </row>
    <row r="8" spans="2:16" x14ac:dyDescent="0.25">
      <c r="B8" s="3" t="s">
        <v>86</v>
      </c>
      <c r="C8" s="6" t="s">
        <v>87</v>
      </c>
      <c r="D8" s="6" t="s">
        <v>70</v>
      </c>
      <c r="E8" s="6" t="s">
        <v>110</v>
      </c>
      <c r="F8" s="6" t="s">
        <v>68</v>
      </c>
      <c r="G8" s="6"/>
      <c r="H8" s="6"/>
      <c r="I8" s="6">
        <v>50</v>
      </c>
      <c r="J8">
        <v>50</v>
      </c>
      <c r="K8">
        <v>-700</v>
      </c>
      <c r="L8">
        <v>300</v>
      </c>
      <c r="M8">
        <v>14</v>
      </c>
      <c r="O8" s="6" t="s">
        <v>80</v>
      </c>
    </row>
    <row r="9" spans="2:16" x14ac:dyDescent="0.25">
      <c r="B9" s="3" t="s">
        <v>88</v>
      </c>
      <c r="C9" s="6" t="s">
        <v>89</v>
      </c>
      <c r="D9" s="6" t="s">
        <v>99</v>
      </c>
      <c r="E9" s="6" t="s">
        <v>110</v>
      </c>
      <c r="F9" s="6" t="s">
        <v>68</v>
      </c>
      <c r="G9" s="6"/>
      <c r="H9" s="6"/>
      <c r="I9" s="6">
        <v>25</v>
      </c>
      <c r="J9">
        <v>25</v>
      </c>
      <c r="K9">
        <v>-380</v>
      </c>
      <c r="L9">
        <v>600</v>
      </c>
      <c r="M9">
        <v>10</v>
      </c>
      <c r="N9">
        <v>32</v>
      </c>
      <c r="O9" s="6" t="s">
        <v>91</v>
      </c>
      <c r="P9" s="6" t="s">
        <v>93</v>
      </c>
    </row>
    <row r="10" spans="2:16" x14ac:dyDescent="0.25">
      <c r="B10" s="5" t="s">
        <v>94</v>
      </c>
      <c r="C10" s="6" t="s">
        <v>89</v>
      </c>
      <c r="D10" s="6" t="s">
        <v>99</v>
      </c>
      <c r="E10" s="6" t="s">
        <v>110</v>
      </c>
      <c r="F10" s="6" t="s">
        <v>68</v>
      </c>
      <c r="G10" s="6" t="s">
        <v>23</v>
      </c>
      <c r="H10" s="6" t="s">
        <v>100</v>
      </c>
      <c r="I10" s="6">
        <v>25</v>
      </c>
      <c r="J10">
        <v>25</v>
      </c>
      <c r="K10">
        <v>-380</v>
      </c>
      <c r="L10">
        <v>600</v>
      </c>
      <c r="M10">
        <v>10</v>
      </c>
      <c r="N10">
        <v>32</v>
      </c>
      <c r="O10" s="6" t="s">
        <v>91</v>
      </c>
      <c r="P10" s="6" t="s">
        <v>116</v>
      </c>
    </row>
    <row r="11" spans="2:16" x14ac:dyDescent="0.25">
      <c r="P11" s="11" t="s">
        <v>113</v>
      </c>
    </row>
    <row r="12" spans="2:16" x14ac:dyDescent="0.25">
      <c r="B12" s="5" t="s">
        <v>114</v>
      </c>
      <c r="C12" s="6" t="s">
        <v>89</v>
      </c>
      <c r="D12" s="6" t="s">
        <v>115</v>
      </c>
      <c r="E12" s="6" t="s">
        <v>110</v>
      </c>
      <c r="F12" s="6" t="s">
        <v>68</v>
      </c>
      <c r="G12" s="6" t="s">
        <v>23</v>
      </c>
      <c r="H12" s="6" t="s">
        <v>118</v>
      </c>
      <c r="I12" s="6">
        <v>25</v>
      </c>
      <c r="J12">
        <v>25</v>
      </c>
      <c r="K12">
        <v>-380</v>
      </c>
      <c r="L12">
        <v>600</v>
      </c>
      <c r="M12">
        <v>10</v>
      </c>
      <c r="N12">
        <v>32</v>
      </c>
      <c r="O12" s="6" t="s">
        <v>117</v>
      </c>
      <c r="P12" s="6" t="s">
        <v>140</v>
      </c>
    </row>
    <row r="13" spans="2:16" x14ac:dyDescent="0.25">
      <c r="B13" s="5" t="s">
        <v>120</v>
      </c>
      <c r="C13" s="6" t="s">
        <v>89</v>
      </c>
      <c r="D13" s="6" t="s">
        <v>99</v>
      </c>
      <c r="E13" s="6" t="s">
        <v>110</v>
      </c>
      <c r="F13" s="6" t="s">
        <v>68</v>
      </c>
      <c r="G13" s="6" t="s">
        <v>23</v>
      </c>
      <c r="H13" s="6" t="s">
        <v>119</v>
      </c>
      <c r="I13" s="6">
        <v>20</v>
      </c>
      <c r="J13">
        <v>20</v>
      </c>
      <c r="K13">
        <v>-360</v>
      </c>
      <c r="L13">
        <v>630</v>
      </c>
      <c r="M13">
        <v>10</v>
      </c>
      <c r="N13">
        <v>32</v>
      </c>
      <c r="O13" s="6" t="s">
        <v>91</v>
      </c>
    </row>
    <row r="14" spans="2:16" x14ac:dyDescent="0.25">
      <c r="B14" s="3" t="s">
        <v>122</v>
      </c>
      <c r="C14" s="6" t="s">
        <v>124</v>
      </c>
      <c r="D14" s="6" t="s">
        <v>99</v>
      </c>
      <c r="E14" s="6" t="s">
        <v>110</v>
      </c>
      <c r="F14" s="6" t="s">
        <v>68</v>
      </c>
      <c r="G14" s="6" t="s">
        <v>23</v>
      </c>
      <c r="H14" s="6" t="s">
        <v>119</v>
      </c>
      <c r="I14" s="6">
        <v>1</v>
      </c>
      <c r="J14">
        <v>1</v>
      </c>
      <c r="K14">
        <v>-280</v>
      </c>
      <c r="L14">
        <v>690</v>
      </c>
      <c r="N14">
        <v>32</v>
      </c>
      <c r="O14" s="6"/>
      <c r="P14" s="18" t="s">
        <v>126</v>
      </c>
    </row>
    <row r="15" spans="2:16" x14ac:dyDescent="0.25">
      <c r="B15" s="3" t="s">
        <v>123</v>
      </c>
      <c r="C15" s="6" t="s">
        <v>125</v>
      </c>
      <c r="D15" s="6" t="s">
        <v>99</v>
      </c>
      <c r="E15" s="6" t="s">
        <v>110</v>
      </c>
      <c r="F15" s="6" t="s">
        <v>68</v>
      </c>
      <c r="G15" s="6" t="s">
        <v>23</v>
      </c>
      <c r="H15" s="6" t="s">
        <v>119</v>
      </c>
      <c r="I15" s="6">
        <v>1</v>
      </c>
      <c r="J15">
        <v>1</v>
      </c>
      <c r="K15">
        <v>-280</v>
      </c>
      <c r="L15">
        <v>720</v>
      </c>
      <c r="N15">
        <v>32</v>
      </c>
      <c r="P15" s="18"/>
    </row>
    <row r="16" spans="2:16" x14ac:dyDescent="0.25">
      <c r="B16" s="5" t="s">
        <v>127</v>
      </c>
      <c r="C16" s="6" t="s">
        <v>128</v>
      </c>
      <c r="D16" s="6" t="s">
        <v>115</v>
      </c>
      <c r="E16" s="6" t="s">
        <v>110</v>
      </c>
      <c r="F16" s="6" t="s">
        <v>68</v>
      </c>
      <c r="H16" s="6" t="s">
        <v>118</v>
      </c>
      <c r="I16" s="6">
        <v>25</v>
      </c>
      <c r="J16">
        <v>25</v>
      </c>
      <c r="K16">
        <v>-340</v>
      </c>
      <c r="L16">
        <v>630</v>
      </c>
      <c r="M16">
        <v>8</v>
      </c>
      <c r="O16" t="s">
        <v>137</v>
      </c>
      <c r="P16" t="s">
        <v>130</v>
      </c>
    </row>
    <row r="17" spans="2:16" x14ac:dyDescent="0.25">
      <c r="B17" s="3" t="s">
        <v>121</v>
      </c>
      <c r="C17" s="6" t="s">
        <v>131</v>
      </c>
      <c r="D17" s="6" t="s">
        <v>99</v>
      </c>
      <c r="E17" s="6" t="s">
        <v>110</v>
      </c>
      <c r="F17" s="6" t="s">
        <v>68</v>
      </c>
      <c r="I17" s="6">
        <v>1</v>
      </c>
      <c r="J17">
        <v>1</v>
      </c>
      <c r="K17">
        <v>-280</v>
      </c>
      <c r="L17">
        <v>720</v>
      </c>
    </row>
    <row r="18" spans="2:16" x14ac:dyDescent="0.25">
      <c r="B18" s="3" t="s">
        <v>132</v>
      </c>
      <c r="C18" s="6" t="s">
        <v>133</v>
      </c>
      <c r="D18" s="6" t="s">
        <v>99</v>
      </c>
      <c r="E18" s="6" t="s">
        <v>110</v>
      </c>
      <c r="F18" s="6" t="s">
        <v>68</v>
      </c>
      <c r="G18" s="6" t="s">
        <v>23</v>
      </c>
      <c r="H18" s="6" t="s">
        <v>118</v>
      </c>
      <c r="I18" s="6">
        <v>15</v>
      </c>
      <c r="J18">
        <v>15</v>
      </c>
      <c r="K18">
        <v>-235</v>
      </c>
      <c r="L18">
        <v>630</v>
      </c>
      <c r="M18">
        <v>6</v>
      </c>
      <c r="P18" t="s">
        <v>134</v>
      </c>
    </row>
    <row r="19" spans="2:16" x14ac:dyDescent="0.25">
      <c r="B19" s="5" t="s">
        <v>138</v>
      </c>
      <c r="C19" s="6" t="s">
        <v>128</v>
      </c>
      <c r="D19" s="6" t="s">
        <v>99</v>
      </c>
      <c r="E19" s="6" t="s">
        <v>110</v>
      </c>
      <c r="F19" s="6" t="s">
        <v>68</v>
      </c>
      <c r="G19" s="6" t="s">
        <v>23</v>
      </c>
      <c r="H19" s="6" t="s">
        <v>119</v>
      </c>
      <c r="I19" s="6">
        <v>25</v>
      </c>
      <c r="J19">
        <v>25</v>
      </c>
      <c r="K19">
        <v>-340</v>
      </c>
      <c r="L19">
        <v>630</v>
      </c>
      <c r="M19">
        <v>8</v>
      </c>
      <c r="N19">
        <v>64</v>
      </c>
      <c r="O19" t="s">
        <v>137</v>
      </c>
      <c r="P19" t="s">
        <v>139</v>
      </c>
    </row>
  </sheetData>
  <mergeCells count="2">
    <mergeCell ref="B2:C2"/>
    <mergeCell ref="P14:P15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L1001"/>
  <sheetViews>
    <sheetView zoomScale="109" zoomScaleNormal="145" workbookViewId="0">
      <selection activeCell="I28" sqref="I28"/>
    </sheetView>
  </sheetViews>
  <sheetFormatPr defaultColWidth="12.6640625" defaultRowHeight="15.75" customHeight="1" x14ac:dyDescent="0.25"/>
  <cols>
    <col min="1" max="1" width="8.33203125" customWidth="1"/>
    <col min="2" max="2" width="12.33203125" customWidth="1"/>
    <col min="3" max="3" width="16.5546875" bestFit="1" customWidth="1"/>
    <col min="4" max="4" width="11.88671875" customWidth="1"/>
    <col min="6" max="6" width="16.5546875" bestFit="1" customWidth="1"/>
    <col min="7" max="7" width="7.88671875" customWidth="1"/>
    <col min="8" max="8" width="6.21875" style="3" customWidth="1"/>
    <col min="9" max="9" width="16.5546875" bestFit="1" customWidth="1"/>
    <col min="10" max="10" width="9.6640625" customWidth="1"/>
    <col min="12" max="12" width="94.21875" customWidth="1"/>
  </cols>
  <sheetData>
    <row r="1" spans="2:11" x14ac:dyDescent="0.25">
      <c r="C1" s="1"/>
    </row>
    <row r="2" spans="2:11" x14ac:dyDescent="0.25">
      <c r="C2" s="27" t="s">
        <v>19</v>
      </c>
      <c r="D2" s="28"/>
      <c r="E2" t="s">
        <v>101</v>
      </c>
      <c r="F2" s="25" t="s">
        <v>20</v>
      </c>
      <c r="G2" s="26"/>
      <c r="H2" s="15" t="s">
        <v>135</v>
      </c>
    </row>
    <row r="3" spans="2:11" x14ac:dyDescent="0.25">
      <c r="C3" s="1" t="s">
        <v>0</v>
      </c>
      <c r="D3" s="1" t="s">
        <v>1</v>
      </c>
      <c r="E3" t="s">
        <v>102</v>
      </c>
      <c r="F3" s="1" t="s">
        <v>11</v>
      </c>
      <c r="G3" s="1" t="s">
        <v>12</v>
      </c>
    </row>
    <row r="4" spans="2:11" x14ac:dyDescent="0.25">
      <c r="C4" s="1" t="s">
        <v>2</v>
      </c>
      <c r="D4" s="1">
        <v>20</v>
      </c>
      <c r="F4" s="1" t="s">
        <v>13</v>
      </c>
      <c r="G4" s="1" t="s">
        <v>50</v>
      </c>
    </row>
    <row r="5" spans="2:11" x14ac:dyDescent="0.25">
      <c r="C5" s="1" t="s">
        <v>3</v>
      </c>
      <c r="D5" s="1">
        <v>1</v>
      </c>
      <c r="F5" s="1" t="s">
        <v>14</v>
      </c>
      <c r="G5" s="1" t="s">
        <v>15</v>
      </c>
    </row>
    <row r="6" spans="2:11" x14ac:dyDescent="0.25">
      <c r="C6" s="1" t="s">
        <v>4</v>
      </c>
      <c r="D6" s="1">
        <v>5</v>
      </c>
      <c r="F6" s="1" t="s">
        <v>16</v>
      </c>
      <c r="G6" s="1" t="s">
        <v>17</v>
      </c>
    </row>
    <row r="7" spans="2:11" x14ac:dyDescent="0.25">
      <c r="B7" s="2" t="s">
        <v>18</v>
      </c>
      <c r="C7" s="1" t="s">
        <v>5</v>
      </c>
      <c r="D7" s="1">
        <v>1</v>
      </c>
      <c r="E7" s="2"/>
    </row>
    <row r="8" spans="2:11" x14ac:dyDescent="0.25">
      <c r="C8" s="1" t="s">
        <v>6</v>
      </c>
      <c r="D8" s="1" t="s">
        <v>106</v>
      </c>
      <c r="E8" t="s">
        <v>103</v>
      </c>
      <c r="F8" s="25" t="s">
        <v>21</v>
      </c>
      <c r="G8" s="26"/>
    </row>
    <row r="9" spans="2:11" x14ac:dyDescent="0.25">
      <c r="C9" s="1" t="s">
        <v>7</v>
      </c>
      <c r="D9" s="1">
        <v>16</v>
      </c>
      <c r="F9" s="4" t="s">
        <v>22</v>
      </c>
      <c r="G9" s="4" t="s">
        <v>23</v>
      </c>
    </row>
    <row r="10" spans="2:11" x14ac:dyDescent="0.25">
      <c r="C10" s="1" t="s">
        <v>8</v>
      </c>
      <c r="D10" s="1" t="s">
        <v>9</v>
      </c>
      <c r="F10" s="5" t="s">
        <v>24</v>
      </c>
      <c r="G10" s="5" t="s">
        <v>25</v>
      </c>
    </row>
    <row r="11" spans="2:11" x14ac:dyDescent="0.25">
      <c r="C11" s="1" t="s">
        <v>10</v>
      </c>
      <c r="D11" s="1">
        <v>1</v>
      </c>
      <c r="F11" s="5" t="s">
        <v>26</v>
      </c>
      <c r="G11" s="3">
        <v>200000</v>
      </c>
    </row>
    <row r="12" spans="2:11" x14ac:dyDescent="0.25">
      <c r="C12" s="1"/>
    </row>
    <row r="13" spans="2:11" x14ac:dyDescent="0.25">
      <c r="C13" s="27" t="s">
        <v>71</v>
      </c>
      <c r="D13" s="28"/>
    </row>
    <row r="14" spans="2:11" x14ac:dyDescent="0.25">
      <c r="C14" s="4" t="s">
        <v>27</v>
      </c>
      <c r="D14" s="3">
        <v>5</v>
      </c>
    </row>
    <row r="15" spans="2:11" x14ac:dyDescent="0.25">
      <c r="C15" s="4" t="s">
        <v>28</v>
      </c>
      <c r="D15" s="3">
        <v>5</v>
      </c>
      <c r="G15" s="8" t="s">
        <v>51</v>
      </c>
      <c r="H15" s="3">
        <v>0.8</v>
      </c>
      <c r="I15" t="s">
        <v>52</v>
      </c>
    </row>
    <row r="16" spans="2:11" x14ac:dyDescent="0.25">
      <c r="C16" s="4" t="s">
        <v>29</v>
      </c>
      <c r="D16" s="3">
        <v>1</v>
      </c>
      <c r="F16" s="21" t="s">
        <v>53</v>
      </c>
      <c r="G16" s="22"/>
      <c r="H16" s="23" t="s">
        <v>54</v>
      </c>
      <c r="I16" s="24"/>
      <c r="K16" s="11" t="s">
        <v>107</v>
      </c>
    </row>
    <row r="17" spans="2:12" x14ac:dyDescent="0.25">
      <c r="C17" s="4" t="s">
        <v>30</v>
      </c>
      <c r="D17" s="5" t="s">
        <v>38</v>
      </c>
      <c r="F17" s="7" t="s">
        <v>43</v>
      </c>
      <c r="G17" s="6">
        <v>0</v>
      </c>
      <c r="H17" s="3">
        <v>90</v>
      </c>
      <c r="K17" s="8" t="s">
        <v>102</v>
      </c>
      <c r="L17" s="10" t="s">
        <v>104</v>
      </c>
    </row>
    <row r="18" spans="2:12" x14ac:dyDescent="0.25">
      <c r="C18" s="4" t="s">
        <v>31</v>
      </c>
      <c r="D18" s="5" t="s">
        <v>39</v>
      </c>
      <c r="F18" s="7" t="s">
        <v>44</v>
      </c>
      <c r="G18">
        <f t="shared" ref="G18:G23" si="0">-(H18-H$17)*(H$15)*(100)</f>
        <v>80</v>
      </c>
      <c r="H18" s="3">
        <v>89</v>
      </c>
      <c r="I18" t="s">
        <v>59</v>
      </c>
      <c r="K18" s="8" t="s">
        <v>103</v>
      </c>
      <c r="L18" t="s">
        <v>105</v>
      </c>
    </row>
    <row r="19" spans="2:12" x14ac:dyDescent="0.25">
      <c r="C19" s="4" t="s">
        <v>22</v>
      </c>
      <c r="D19" s="5" t="s">
        <v>23</v>
      </c>
      <c r="F19" s="7" t="s">
        <v>45</v>
      </c>
      <c r="G19">
        <f t="shared" si="0"/>
        <v>160</v>
      </c>
      <c r="H19" s="3">
        <v>88</v>
      </c>
      <c r="I19" t="s">
        <v>57</v>
      </c>
      <c r="K19" s="8" t="s">
        <v>101</v>
      </c>
      <c r="L19" t="s">
        <v>136</v>
      </c>
    </row>
    <row r="20" spans="2:12" x14ac:dyDescent="0.25">
      <c r="C20" s="4" t="s">
        <v>26</v>
      </c>
      <c r="D20" s="3">
        <v>200000</v>
      </c>
      <c r="F20" s="7" t="s">
        <v>46</v>
      </c>
      <c r="G20">
        <f t="shared" si="0"/>
        <v>240.00000000000003</v>
      </c>
      <c r="H20" s="3">
        <v>87</v>
      </c>
      <c r="I20" t="s">
        <v>58</v>
      </c>
      <c r="K20" s="8" t="s">
        <v>135</v>
      </c>
      <c r="L20" t="s">
        <v>112</v>
      </c>
    </row>
    <row r="21" spans="2:12" x14ac:dyDescent="0.25">
      <c r="C21" s="1"/>
      <c r="D21" s="3"/>
      <c r="F21" s="7" t="s">
        <v>47</v>
      </c>
      <c r="G21">
        <f t="shared" si="0"/>
        <v>320</v>
      </c>
      <c r="H21" s="3">
        <v>86</v>
      </c>
      <c r="I21" t="s">
        <v>55</v>
      </c>
    </row>
    <row r="22" spans="2:12" x14ac:dyDescent="0.25">
      <c r="B22" s="20" t="s">
        <v>6</v>
      </c>
      <c r="C22" s="4" t="s">
        <v>32</v>
      </c>
      <c r="D22" s="5" t="s">
        <v>40</v>
      </c>
      <c r="F22" s="7" t="s">
        <v>48</v>
      </c>
      <c r="G22">
        <f t="shared" si="0"/>
        <v>400</v>
      </c>
      <c r="H22" s="3">
        <v>85</v>
      </c>
      <c r="I22" t="s">
        <v>56</v>
      </c>
    </row>
    <row r="23" spans="2:12" x14ac:dyDescent="0.25">
      <c r="B23" s="20"/>
      <c r="C23" s="4" t="s">
        <v>33</v>
      </c>
      <c r="D23" s="3">
        <v>-0.2</v>
      </c>
      <c r="F23" s="7" t="s">
        <v>49</v>
      </c>
      <c r="G23">
        <f t="shared" si="0"/>
        <v>480.00000000000006</v>
      </c>
      <c r="H23" s="3">
        <v>84</v>
      </c>
    </row>
    <row r="24" spans="2:12" x14ac:dyDescent="0.25">
      <c r="B24" s="20"/>
      <c r="C24" s="4" t="s">
        <v>34</v>
      </c>
      <c r="D24" s="5" t="s">
        <v>41</v>
      </c>
    </row>
    <row r="25" spans="2:12" x14ac:dyDescent="0.25">
      <c r="B25" s="20"/>
      <c r="C25" s="4" t="s">
        <v>35</v>
      </c>
      <c r="D25" s="3" t="s">
        <v>42</v>
      </c>
    </row>
    <row r="26" spans="2:12" x14ac:dyDescent="0.25">
      <c r="B26" s="20"/>
      <c r="C26" s="4" t="s">
        <v>36</v>
      </c>
      <c r="D26" s="5" t="s">
        <v>37</v>
      </c>
    </row>
    <row r="27" spans="2:12" x14ac:dyDescent="0.25">
      <c r="C27" s="1"/>
      <c r="D27" s="3"/>
    </row>
    <row r="28" spans="2:12" x14ac:dyDescent="0.25">
      <c r="C28" s="1"/>
      <c r="D28" s="3"/>
    </row>
    <row r="29" spans="2:12" x14ac:dyDescent="0.25">
      <c r="C29" s="19" t="s">
        <v>72</v>
      </c>
      <c r="D29" s="19"/>
      <c r="F29" s="6" t="s">
        <v>78</v>
      </c>
    </row>
    <row r="30" spans="2:12" x14ac:dyDescent="0.25">
      <c r="C30" s="4" t="s">
        <v>73</v>
      </c>
      <c r="D30" s="3">
        <v>1</v>
      </c>
    </row>
    <row r="31" spans="2:12" x14ac:dyDescent="0.25">
      <c r="C31" s="4" t="s">
        <v>74</v>
      </c>
      <c r="D31" s="3">
        <v>1</v>
      </c>
    </row>
    <row r="32" spans="2:12" x14ac:dyDescent="0.25">
      <c r="C32" s="4" t="s">
        <v>64</v>
      </c>
      <c r="D32" s="5" t="s">
        <v>75</v>
      </c>
    </row>
    <row r="33" spans="3:12" x14ac:dyDescent="0.25">
      <c r="C33" s="4" t="s">
        <v>65</v>
      </c>
      <c r="D33" s="5" t="s">
        <v>76</v>
      </c>
    </row>
    <row r="34" spans="3:12" x14ac:dyDescent="0.25">
      <c r="C34" s="4" t="s">
        <v>66</v>
      </c>
      <c r="D34" s="3">
        <v>0</v>
      </c>
    </row>
    <row r="35" spans="3:12" x14ac:dyDescent="0.25">
      <c r="C35" s="1"/>
      <c r="L35" t="s">
        <v>108</v>
      </c>
    </row>
    <row r="36" spans="3:12" x14ac:dyDescent="0.25">
      <c r="C36" s="19" t="s">
        <v>77</v>
      </c>
      <c r="D36" s="19"/>
    </row>
    <row r="37" spans="3:12" x14ac:dyDescent="0.25">
      <c r="C37" s="4" t="s">
        <v>73</v>
      </c>
    </row>
    <row r="38" spans="3:12" x14ac:dyDescent="0.25">
      <c r="C38" s="4" t="s">
        <v>74</v>
      </c>
    </row>
    <row r="39" spans="3:12" x14ac:dyDescent="0.25">
      <c r="C39" s="4" t="s">
        <v>64</v>
      </c>
    </row>
    <row r="40" spans="3:12" x14ac:dyDescent="0.25">
      <c r="C40" s="4" t="s">
        <v>65</v>
      </c>
    </row>
    <row r="41" spans="3:12" x14ac:dyDescent="0.25">
      <c r="C41" s="4" t="s">
        <v>66</v>
      </c>
    </row>
    <row r="42" spans="3:12" x14ac:dyDescent="0.25">
      <c r="C42" s="1"/>
    </row>
    <row r="43" spans="3:12" x14ac:dyDescent="0.25">
      <c r="C43" s="1"/>
    </row>
    <row r="44" spans="3:12" x14ac:dyDescent="0.25">
      <c r="C44" s="1"/>
    </row>
    <row r="45" spans="3:12" x14ac:dyDescent="0.25">
      <c r="C45" s="1"/>
    </row>
    <row r="46" spans="3:12" x14ac:dyDescent="0.25">
      <c r="C46" s="1"/>
    </row>
    <row r="47" spans="3:12" x14ac:dyDescent="0.25">
      <c r="C47" s="1"/>
    </row>
    <row r="48" spans="3:12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</sheetData>
  <mergeCells count="9">
    <mergeCell ref="C36:D36"/>
    <mergeCell ref="B22:B26"/>
    <mergeCell ref="F16:G16"/>
    <mergeCell ref="H16:I16"/>
    <mergeCell ref="F2:G2"/>
    <mergeCell ref="C2:D2"/>
    <mergeCell ref="F8:G8"/>
    <mergeCell ref="C13:D13"/>
    <mergeCell ref="C29:D2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 Parameters</vt:lpstr>
      <vt:lpstr>Device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Adhami, Mumin</dc:creator>
  <cp:lastModifiedBy>Adhami, Mumin</cp:lastModifiedBy>
  <dcterms:created xsi:type="dcterms:W3CDTF">2026-02-18T15:55:59Z</dcterms:created>
  <dcterms:modified xsi:type="dcterms:W3CDTF">2026-02-25T20:25:32Z</dcterms:modified>
</cp:coreProperties>
</file>