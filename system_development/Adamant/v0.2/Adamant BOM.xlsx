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GitHub\In-situ-monitoring-of-powder-bed-fusion-additive-manufacturing\system_development\Adamant\v0.2\"/>
    </mc:Choice>
  </mc:AlternateContent>
  <xr:revisionPtr revIDLastSave="0" documentId="13_ncr:1_{57BC21C7-038F-4BE5-ACE8-9C052E1766A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1" l="1"/>
  <c r="B20" i="1"/>
  <c r="B21" i="1"/>
  <c r="B22" i="1"/>
  <c r="B23" i="1" s="1"/>
  <c r="B16" i="1"/>
  <c r="B15" i="1"/>
  <c r="B18" i="1"/>
  <c r="B14" i="1"/>
</calcChain>
</file>

<file path=xl/sharedStrings.xml><?xml version="1.0" encoding="utf-8"?>
<sst xmlns="http://schemas.openxmlformats.org/spreadsheetml/2006/main" count="43" uniqueCount="37">
  <si>
    <t>Name</t>
  </si>
  <si>
    <t>Quantity</t>
  </si>
  <si>
    <t>Aluminum Cover</t>
  </si>
  <si>
    <t>Xometry + model</t>
  </si>
  <si>
    <t>Source</t>
  </si>
  <si>
    <t>Pull Handle</t>
  </si>
  <si>
    <t>https://www.grainger.com/product/JW-WINCO-Pull-Handle-Unthreaded-Holes-813RC8</t>
  </si>
  <si>
    <t>Head Plate (metal)</t>
  </si>
  <si>
    <t>Welding glass</t>
  </si>
  <si>
    <t>Laser Vision</t>
  </si>
  <si>
    <t>Glass1</t>
  </si>
  <si>
    <t>Glass2</t>
  </si>
  <si>
    <t>Glass3</t>
  </si>
  <si>
    <t>Glass4</t>
  </si>
  <si>
    <t>Xi 400 20mm</t>
  </si>
  <si>
    <t>optris</t>
  </si>
  <si>
    <t xml:space="preserve">Seal Glass Ring </t>
  </si>
  <si>
    <t>3D Printed</t>
  </si>
  <si>
    <t>Cylinder Housing</t>
  </si>
  <si>
    <t>Camera Lid</t>
  </si>
  <si>
    <t>Cylinder Segment Inner</t>
  </si>
  <si>
    <t>Cylinder Segment Outer</t>
  </si>
  <si>
    <t>Magnet Sensors</t>
  </si>
  <si>
    <t>Aconity</t>
  </si>
  <si>
    <t>Horsehoe</t>
  </si>
  <si>
    <t>M6x15</t>
  </si>
  <si>
    <t>M6x20</t>
  </si>
  <si>
    <t>M5x40</t>
  </si>
  <si>
    <t>M5x20</t>
  </si>
  <si>
    <t>M4x14</t>
  </si>
  <si>
    <t>M5 ID 9.8mm OD Washer</t>
  </si>
  <si>
    <t>M6 ID 11.8mm OD Washer</t>
  </si>
  <si>
    <t>M4 ID 8.8mm OD Washer</t>
  </si>
  <si>
    <t>M6 Nut</t>
  </si>
  <si>
    <t>M5 Nut</t>
  </si>
  <si>
    <t>Rubber Seal (100ft)</t>
  </si>
  <si>
    <t>https://www.grainger.com/product/Rubber-Cord-Buna-N-848F88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</si>
</sst>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1" applyAlignment="1">
      <alignment horizontal="left"/>
    </xf>
    <xf numFmtId="0" fontId="1" fillId="0" borderId="0" xfId="1" applyAlignment="1">
      <alignment horizontal="center"/>
    </xf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scdirect.com/product/details/62674445" TargetMode="External"/><Relationship Id="rId2" Type="http://schemas.openxmlformats.org/officeDocument/2006/relationships/hyperlink" Target="https://lasersafety.com/product/p5p10-window/" TargetMode="External"/><Relationship Id="rId1" Type="http://schemas.openxmlformats.org/officeDocument/2006/relationships/hyperlink" Target="https://www.grainger.com/product/JW-WINCO-Pull-Handle-Unthreaded-Holes-813RC8" TargetMode="External"/><Relationship Id="rId6" Type="http://schemas.openxmlformats.org/officeDocument/2006/relationships/hyperlink" Target="https://www.mscdirect.com/product/details/62674411" TargetMode="External"/><Relationship Id="rId5" Type="http://schemas.openxmlformats.org/officeDocument/2006/relationships/hyperlink" Target="https://www.mscdirect.com/product/details/62674437" TargetMode="External"/><Relationship Id="rId4" Type="http://schemas.openxmlformats.org/officeDocument/2006/relationships/hyperlink" Target="https://www.mscdirect.com/product/details/626744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workbookViewId="0">
      <selection activeCell="L12" sqref="L12"/>
    </sheetView>
  </sheetViews>
  <sheetFormatPr defaultRowHeight="14.4" x14ac:dyDescent="0.3"/>
  <cols>
    <col min="1" max="1" width="23.5546875" customWidth="1"/>
    <col min="2" max="2" width="8.88671875" style="1"/>
    <col min="3" max="3" width="16.21875" customWidth="1"/>
  </cols>
  <sheetData>
    <row r="1" spans="1:7" x14ac:dyDescent="0.3">
      <c r="A1" s="1" t="s">
        <v>0</v>
      </c>
      <c r="B1" s="1" t="s">
        <v>1</v>
      </c>
      <c r="C1" s="1" t="s">
        <v>4</v>
      </c>
    </row>
    <row r="2" spans="1:7" x14ac:dyDescent="0.3">
      <c r="A2" s="1" t="s">
        <v>2</v>
      </c>
      <c r="B2" s="1">
        <v>1</v>
      </c>
      <c r="C2" s="1" t="s">
        <v>3</v>
      </c>
    </row>
    <row r="3" spans="1:7" x14ac:dyDescent="0.3">
      <c r="A3" s="1" t="s">
        <v>5</v>
      </c>
      <c r="B3" s="1">
        <v>2</v>
      </c>
      <c r="C3" s="2" t="s">
        <v>6</v>
      </c>
    </row>
    <row r="4" spans="1:7" x14ac:dyDescent="0.3">
      <c r="A4" s="1" t="s">
        <v>24</v>
      </c>
      <c r="B4" s="1">
        <v>1</v>
      </c>
      <c r="C4" s="1" t="s">
        <v>3</v>
      </c>
    </row>
    <row r="5" spans="1:7" x14ac:dyDescent="0.3">
      <c r="A5" s="1" t="s">
        <v>7</v>
      </c>
      <c r="B5" s="1">
        <v>1</v>
      </c>
      <c r="C5" s="1" t="s">
        <v>3</v>
      </c>
    </row>
    <row r="6" spans="1:7" x14ac:dyDescent="0.3">
      <c r="A6" s="1" t="s">
        <v>8</v>
      </c>
      <c r="B6" s="1">
        <v>1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13</v>
      </c>
    </row>
    <row r="7" spans="1:7" x14ac:dyDescent="0.3">
      <c r="A7" s="1" t="s">
        <v>14</v>
      </c>
      <c r="B7" s="1">
        <v>1</v>
      </c>
      <c r="C7" s="1" t="s">
        <v>15</v>
      </c>
    </row>
    <row r="8" spans="1:7" x14ac:dyDescent="0.3">
      <c r="A8" s="1" t="s">
        <v>16</v>
      </c>
      <c r="B8" s="1">
        <v>1</v>
      </c>
      <c r="C8" s="1" t="s">
        <v>17</v>
      </c>
    </row>
    <row r="9" spans="1:7" x14ac:dyDescent="0.3">
      <c r="A9" s="1" t="s">
        <v>18</v>
      </c>
      <c r="B9" s="1">
        <v>1</v>
      </c>
      <c r="C9" s="1" t="s">
        <v>17</v>
      </c>
    </row>
    <row r="10" spans="1:7" x14ac:dyDescent="0.3">
      <c r="A10" s="1" t="s">
        <v>19</v>
      </c>
      <c r="B10" s="1">
        <v>1</v>
      </c>
      <c r="C10" s="1" t="s">
        <v>17</v>
      </c>
    </row>
    <row r="11" spans="1:7" x14ac:dyDescent="0.3">
      <c r="A11" s="1" t="s">
        <v>20</v>
      </c>
      <c r="B11" s="1">
        <v>1</v>
      </c>
      <c r="C11" s="1" t="s">
        <v>17</v>
      </c>
    </row>
    <row r="12" spans="1:7" x14ac:dyDescent="0.3">
      <c r="A12" s="1" t="s">
        <v>21</v>
      </c>
      <c r="B12" s="1">
        <v>1</v>
      </c>
      <c r="C12" s="1" t="s">
        <v>17</v>
      </c>
    </row>
    <row r="13" spans="1:7" x14ac:dyDescent="0.3">
      <c r="A13" s="1" t="s">
        <v>22</v>
      </c>
      <c r="B13" s="1">
        <v>4</v>
      </c>
      <c r="C13" s="1" t="s">
        <v>23</v>
      </c>
    </row>
    <row r="14" spans="1:7" x14ac:dyDescent="0.3">
      <c r="A14" s="1" t="s">
        <v>25</v>
      </c>
      <c r="B14" s="1">
        <f>2</f>
        <v>2</v>
      </c>
    </row>
    <row r="15" spans="1:7" x14ac:dyDescent="0.3">
      <c r="A15" s="1" t="s">
        <v>26</v>
      </c>
      <c r="B15" s="1">
        <f>1+4</f>
        <v>5</v>
      </c>
    </row>
    <row r="16" spans="1:7" x14ac:dyDescent="0.3">
      <c r="A16" s="1" t="s">
        <v>31</v>
      </c>
      <c r="B16" s="1">
        <f>SUM(B14:B15)</f>
        <v>7</v>
      </c>
    </row>
    <row r="17" spans="1:3" x14ac:dyDescent="0.3">
      <c r="A17" s="1" t="s">
        <v>33</v>
      </c>
      <c r="B17" s="1">
        <f>1+2</f>
        <v>3</v>
      </c>
    </row>
    <row r="18" spans="1:3" x14ac:dyDescent="0.3">
      <c r="A18" s="1" t="s">
        <v>27</v>
      </c>
      <c r="B18" s="1">
        <f>9+3</f>
        <v>12</v>
      </c>
    </row>
    <row r="19" spans="1:3" x14ac:dyDescent="0.3">
      <c r="A19" s="1" t="s">
        <v>28</v>
      </c>
      <c r="B19" s="1">
        <v>1</v>
      </c>
    </row>
    <row r="20" spans="1:3" x14ac:dyDescent="0.3">
      <c r="A20" s="1" t="s">
        <v>30</v>
      </c>
      <c r="B20" s="1">
        <f>SUM(B18:B19)+3</f>
        <v>16</v>
      </c>
    </row>
    <row r="21" spans="1:3" x14ac:dyDescent="0.3">
      <c r="A21" s="1" t="s">
        <v>34</v>
      </c>
      <c r="B21" s="1">
        <f>1+3</f>
        <v>4</v>
      </c>
    </row>
    <row r="22" spans="1:3" x14ac:dyDescent="0.3">
      <c r="A22" s="1" t="s">
        <v>29</v>
      </c>
      <c r="B22" s="1">
        <f>3+4+4</f>
        <v>11</v>
      </c>
    </row>
    <row r="23" spans="1:3" x14ac:dyDescent="0.3">
      <c r="A23" s="1" t="s">
        <v>32</v>
      </c>
      <c r="B23" s="1">
        <f>B22</f>
        <v>11</v>
      </c>
    </row>
    <row r="24" spans="1:3" x14ac:dyDescent="0.3">
      <c r="A24" s="1" t="s">
        <v>35</v>
      </c>
      <c r="B24" s="1">
        <v>1</v>
      </c>
      <c r="C24" s="4" t="s">
        <v>36</v>
      </c>
    </row>
  </sheetData>
  <hyperlinks>
    <hyperlink ref="C3" r:id="rId1" xr:uid="{6271AB2F-D1A6-4F88-B713-F7E274353E1B}"/>
    <hyperlink ref="C6" r:id="rId2" display="Glass 1, Glass 2, Glass 3, Glass 4, Laser Vision" xr:uid="{C77328FA-9D3E-4C35-A5EA-F9F58133CA41}"/>
    <hyperlink ref="D6" r:id="rId3" xr:uid="{C14F4AC4-1BC2-474B-82AA-24B179A3C507}"/>
    <hyperlink ref="E6" r:id="rId4" xr:uid="{0FCFE125-E2CA-4D48-8197-02B53E7C4FF9}"/>
    <hyperlink ref="F6" r:id="rId5" xr:uid="{97F03314-FADF-444C-8A6B-BD0CA0167154}"/>
    <hyperlink ref="G6" r:id="rId6" xr:uid="{7C42FE40-51C0-4E5C-8D23-82E70425E94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Mumin Adhami</dc:creator>
  <cp:lastModifiedBy>Adhami, Mumin</cp:lastModifiedBy>
  <dcterms:created xsi:type="dcterms:W3CDTF">2015-06-05T18:17:20Z</dcterms:created>
  <dcterms:modified xsi:type="dcterms:W3CDTF">2026-01-15T01:12:22Z</dcterms:modified>
</cp:coreProperties>
</file>